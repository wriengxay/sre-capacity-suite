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hnwilson/Documents/"/>
    </mc:Choice>
  </mc:AlternateContent>
  <bookViews>
    <workbookView xWindow="0" yWindow="0" windowWidth="25600" windowHeight="16000" tabRatio="550"/>
  </bookViews>
  <sheets>
    <sheet name="Current Month" sheetId="1" r:id="rId1"/>
    <sheet name="Chart Data" sheetId="2" state="hidden" r:id="rId2"/>
  </sheets>
  <definedNames>
    <definedName name="_xlnm.Print_Titles" localSheetId="0">'Current Month'!$16:$17</definedName>
    <definedName name="TotalMonthlyExpenses">'Current Month'!$F$9</definedName>
    <definedName name="TotalMonthlyIncome">'Current Month'!$F$6</definedName>
    <definedName name="TotalMonthlySavings">'Current Month'!$F$12</definedName>
  </definedName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12" i="1"/>
  <c r="F9" i="1"/>
  <c r="B6" i="2"/>
  <c r="B5" i="2"/>
  <c r="B4" i="2"/>
  <c r="F15" i="1"/>
</calcChain>
</file>

<file path=xl/sharedStrings.xml><?xml version="1.0" encoding="utf-8"?>
<sst xmlns="http://schemas.openxmlformats.org/spreadsheetml/2006/main" count="58" uniqueCount="38">
  <si>
    <t xml:space="preserve"> </t>
  </si>
  <si>
    <t>Summary</t>
  </si>
  <si>
    <t>TOTAL MONTHLY INCOME</t>
  </si>
  <si>
    <t>TOTAL MONTHLY EXPENSES</t>
  </si>
  <si>
    <t>TOTAL MONTHLY SAVINGS</t>
  </si>
  <si>
    <t>CASH BALANCE</t>
  </si>
  <si>
    <t>Monthly Income</t>
  </si>
  <si>
    <t>Monthly Expenses</t>
  </si>
  <si>
    <t>ITEM</t>
  </si>
  <si>
    <t>AMOUNT</t>
  </si>
  <si>
    <t>DUE DATE</t>
  </si>
  <si>
    <t>DATE</t>
  </si>
  <si>
    <t>Rent/mortgage</t>
  </si>
  <si>
    <t>[Date]</t>
  </si>
  <si>
    <t>Electric</t>
  </si>
  <si>
    <t>Cell phone</t>
  </si>
  <si>
    <t>Groceries</t>
  </si>
  <si>
    <t>Auto expenses</t>
  </si>
  <si>
    <t>Student loans</t>
  </si>
  <si>
    <t>Auto Insurance</t>
  </si>
  <si>
    <t>Entertainment</t>
  </si>
  <si>
    <t>Car payment</t>
  </si>
  <si>
    <t>Percentage of Income Spent</t>
  </si>
  <si>
    <t>Personal Budget</t>
  </si>
  <si>
    <t>CHART DATA</t>
  </si>
  <si>
    <t>Monthly Savings</t>
  </si>
  <si>
    <t>Hair cut</t>
  </si>
  <si>
    <t xml:space="preserve">Tithes and Offering </t>
  </si>
  <si>
    <t>Student Refund Check</t>
  </si>
  <si>
    <t xml:space="preserve">Peak Performance </t>
  </si>
  <si>
    <t xml:space="preserve">Athletic Ticket Office </t>
  </si>
  <si>
    <t xml:space="preserve">Summer Scholars </t>
  </si>
  <si>
    <t>paid</t>
  </si>
  <si>
    <t>N/A</t>
  </si>
  <si>
    <t xml:space="preserve">paid </t>
  </si>
  <si>
    <t>investments</t>
  </si>
  <si>
    <t>Fast Food</t>
  </si>
  <si>
    <t>Credit cards ( Gas)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</si>
</sst>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"/>
    <numFmt numFmtId="165" formatCode="&quot;$&quot;#,##0.00"/>
  </numFmts>
  <fonts count="9" x14ac:knownFonts="1">
    <font>
      <sz val="10"/>
      <color theme="3" tint="0.24994659260841701"/>
      <name val="Century Gothic"/>
      <family val="2"/>
      <scheme val="minor"/>
    </font>
    <font>
      <b/>
      <sz val="10"/>
      <color theme="3" tint="9.9948118533890809E-2"/>
      <name val="Tahoma"/>
      <family val="2"/>
      <scheme val="major"/>
    </font>
    <font>
      <sz val="10"/>
      <color theme="2" tint="-9.9978637043366805E-2"/>
      <name val="Century Gothic"/>
      <family val="2"/>
      <scheme val="minor"/>
    </font>
    <font>
      <sz val="24"/>
      <color theme="3" tint="0.24994659260841701"/>
      <name val="Century Gothic"/>
      <family val="2"/>
      <scheme val="minor"/>
    </font>
    <font>
      <sz val="10"/>
      <color theme="4"/>
      <name val="Tahoma"/>
      <family val="2"/>
      <scheme val="major"/>
    </font>
    <font>
      <sz val="20"/>
      <color theme="0"/>
      <name val="Tahoma"/>
      <family val="2"/>
      <scheme val="major"/>
    </font>
    <font>
      <sz val="13"/>
      <color theme="3" tint="0.24994659260841701"/>
      <name val="Tahoma"/>
      <family val="2"/>
      <scheme val="major"/>
    </font>
    <font>
      <sz val="10"/>
      <name val="Century Gothic"/>
      <family val="2"/>
      <scheme val="minor"/>
    </font>
    <font>
      <sz val="10"/>
      <color rgb="FFFF0000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9.9948118533890809E-2"/>
        <bgColor indexed="64"/>
      </patternFill>
    </fill>
    <fill>
      <patternFill patternType="solid">
        <fgColor theme="2" tint="-9.9948118533890809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</borders>
  <cellStyleXfs count="6">
    <xf numFmtId="0" fontId="0" fillId="4" borderId="0"/>
    <xf numFmtId="0" fontId="5" fillId="3" borderId="0" applyNumberFormat="0" applyBorder="0" applyProtection="0">
      <alignment horizontal="left" vertical="center"/>
    </xf>
    <xf numFmtId="0" fontId="6" fillId="4" borderId="0" applyNumberFormat="0" applyProtection="0">
      <alignment horizontal="left"/>
    </xf>
    <xf numFmtId="0" fontId="4" fillId="4" borderId="1" applyNumberFormat="0" applyAlignment="0" applyProtection="0"/>
    <xf numFmtId="164" fontId="3" fillId="4" borderId="0" applyAlignment="0" applyProtection="0"/>
    <xf numFmtId="0" fontId="1" fillId="0" borderId="0" applyNumberFormat="0" applyFill="0" applyBorder="0" applyAlignment="0" applyProtection="0"/>
  </cellStyleXfs>
  <cellXfs count="19">
    <xf numFmtId="0" fontId="0" fillId="4" borderId="0" xfId="0"/>
    <xf numFmtId="0" fontId="2" fillId="4" borderId="0" xfId="0" applyFont="1" applyAlignment="1">
      <alignment horizontal="left" vertical="center"/>
    </xf>
    <xf numFmtId="165" fontId="2" fillId="4" borderId="0" xfId="0" applyNumberFormat="1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4" borderId="0" xfId="0" applyFont="1" applyAlignment="1">
      <alignment horizontal="left" vertical="center"/>
    </xf>
    <xf numFmtId="0" fontId="0" fillId="4" borderId="0" xfId="0" applyFont="1"/>
    <xf numFmtId="9" fontId="0" fillId="4" borderId="0" xfId="0" applyNumberFormat="1" applyFont="1" applyAlignment="1">
      <alignment vertical="center"/>
    </xf>
    <xf numFmtId="165" fontId="0" fillId="4" borderId="0" xfId="0" applyNumberFormat="1" applyFont="1" applyAlignment="1">
      <alignment horizontal="left" vertical="center"/>
    </xf>
    <xf numFmtId="14" fontId="0" fillId="4" borderId="0" xfId="0" applyNumberFormat="1" applyFont="1" applyAlignment="1">
      <alignment horizontal="left" vertical="center"/>
    </xf>
    <xf numFmtId="0" fontId="0" fillId="4" borderId="0" xfId="0" applyFont="1" applyAlignment="1">
      <alignment horizontal="left"/>
    </xf>
    <xf numFmtId="165" fontId="0" fillId="4" borderId="0" xfId="0" applyNumberFormat="1" applyFont="1" applyAlignment="1">
      <alignment horizontal="left"/>
    </xf>
    <xf numFmtId="14" fontId="0" fillId="4" borderId="0" xfId="0" applyNumberFormat="1" applyFont="1" applyAlignment="1">
      <alignment horizontal="left"/>
    </xf>
    <xf numFmtId="0" fontId="6" fillId="4" borderId="0" xfId="2">
      <alignment horizontal="left"/>
    </xf>
    <xf numFmtId="0" fontId="5" fillId="3" borderId="0" xfId="1" applyBorder="1">
      <alignment horizontal="left" vertical="center"/>
    </xf>
    <xf numFmtId="0" fontId="4" fillId="4" borderId="1" xfId="3" applyAlignment="1">
      <alignment horizontal="left" vertical="center"/>
    </xf>
    <xf numFmtId="9" fontId="7" fillId="4" borderId="0" xfId="0" applyNumberFormat="1" applyFont="1" applyAlignment="1">
      <alignment horizontal="left" vertical="center"/>
    </xf>
    <xf numFmtId="0" fontId="8" fillId="4" borderId="0" xfId="0" applyFont="1" applyAlignment="1">
      <alignment horizontal="left" vertical="center"/>
    </xf>
    <xf numFmtId="0" fontId="4" fillId="4" borderId="1" xfId="3" applyAlignment="1"/>
    <xf numFmtId="164" fontId="3" fillId="4" borderId="0" xfId="4" applyAlignment="1">
      <alignment horizontal="left" vertical="top"/>
    </xf>
  </cellXfs>
  <cellStyles count="6"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Title" xfId="1" builtinId="15" customBuiltin="1"/>
  </cellStyles>
  <dxfs count="14">
    <dxf>
      <font>
        <name val="Century Gothic"/>
        <scheme val="minor"/>
      </font>
      <numFmt numFmtId="165" formatCode="&quot;$&quot;#,##0.00"/>
      <alignment horizontal="left" vertical="center" textRotation="0" wrapText="0" indent="0" justifyLastLine="0" shrinkToFit="0" readingOrder="0"/>
    </dxf>
    <dxf>
      <font>
        <name val="Century Gothic"/>
        <scheme val="minor"/>
      </font>
      <numFmt numFmtId="19" formatCode="m/d/yy"/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name val="Century Gothic"/>
        <scheme val="minor"/>
      </font>
      <numFmt numFmtId="165" formatCode="&quot;$&quot;#,##0.00"/>
      <alignment horizontal="left" vertical="center" textRotation="0" wrapText="0" indent="0" justifyLastLine="0" shrinkToFit="0" readingOrder="0"/>
    </dxf>
    <dxf>
      <font>
        <name val="Century Gothic"/>
        <scheme val="minor"/>
      </font>
      <numFmt numFmtId="19" formatCode="m/d/yy"/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name val="Century Gothic"/>
        <scheme val="minor"/>
      </font>
      <numFmt numFmtId="165" formatCode="&quot;$&quot;#,##0.00"/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color theme="7"/>
      </font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>
        <top style="double">
          <color theme="3" tint="9.9948118533890809E-2"/>
        </top>
      </border>
    </dxf>
    <dxf>
      <font>
        <b val="0"/>
        <i val="0"/>
        <color theme="4"/>
      </font>
      <fill>
        <patternFill patternType="solid">
          <fgColor theme="1"/>
          <bgColor theme="2" tint="-9.9948118533890809E-2"/>
        </patternFill>
      </fill>
      <border diagonalUp="0" diagonalDown="0">
        <left/>
        <right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 style="thin">
          <color theme="2" tint="-0.24994659260841701"/>
        </horizontal>
      </border>
    </dxf>
  </dxfs>
  <tableStyles count="1" defaultTableStyle="TableStyleMedium2" defaultPivotStyle="PivotStyleLight16">
    <tableStyle name="Personal budget table" pivot="0" count="3">
      <tableStyleElement type="wholeTable" dxfId="13"/>
      <tableStyleElement type="headerRow" dxfId="12"/>
      <tableStyleElement type="totalRow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A9-4669-9A55-9B918C2F1273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A9-4669-9A55-9B918C2F1273}"/>
              </c:ext>
            </c:extLst>
          </c:dPt>
          <c:dLbls>
            <c:dLbl>
              <c:idx val="0"/>
              <c:delete val="1"/>
              <c:extLst>
                <c:ext xmlns:c16="http://schemas.microsoft.com/office/drawing/2014/chart" uri="{C3380CC4-5D6E-409C-BE32-E72D297353CC}">
                  <c16:uniqueId val="{00000001-DEA9-4669-9A55-9B918C2F1273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012404568818206"/>
                  <c:y val="-0.1019932861112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EA9-4669-9A55-9B918C2F1273}"/>
                </c:ext>
                <c:ext xmlns:c15="http://schemas.microsoft.com/office/drawing/2012/chart" uri="{CE6537A1-D6FC-4f65-9D91-7224C49458BB}">
                  <c15:layout>
                    <c:manualLayout>
                      <c:w val="0.987595431181794"/>
                      <c:h val="0.99988896314624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'Chart Data'!$B$4:$B$5</c:f>
              <c:numCache>
                <c:formatCode>0%</c:formatCode>
                <c:ptCount val="2"/>
                <c:pt idx="0">
                  <c:v>0.1375</c:v>
                </c:pt>
                <c:pt idx="1">
                  <c:v>0.8625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22-4DD0-9B19-D5F075987E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4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 </c:v>
              </c:pt>
            </c:strLit>
          </c:cat>
          <c:val>
            <c:numRef>
              <c:f>'Current Month'!$F$6</c:f>
              <c:numCache>
                <c:formatCode>"$"#,##0</c:formatCode>
                <c:ptCount val="1"/>
                <c:pt idx="0">
                  <c:v>800.0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9-4A8D-AD80-74C09DFD73FF}"/>
            </c:ext>
          </c:extLst>
        </c:ser>
        <c:ser>
          <c:idx val="1"/>
          <c:order val="1"/>
          <c:tx>
            <c:v>Expenses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 </c:v>
              </c:pt>
            </c:strLit>
          </c:cat>
          <c:val>
            <c:numRef>
              <c:f>'Current Month'!$F$9</c:f>
              <c:numCache>
                <c:formatCode>"$"#,##0</c:formatCode>
                <c:ptCount val="1"/>
                <c:pt idx="0">
                  <c:v>690.0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9-4A8D-AD80-74C09DFD7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2142181392"/>
        <c:axId val="2142184736"/>
      </c:barChart>
      <c:catAx>
        <c:axId val="214218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184736"/>
        <c:crosses val="autoZero"/>
        <c:auto val="1"/>
        <c:lblAlgn val="ctr"/>
        <c:lblOffset val="100"/>
        <c:noMultiLvlLbl val="0"/>
      </c:catAx>
      <c:valAx>
        <c:axId val="2142184736"/>
        <c:scaling>
          <c:orientation val="minMax"/>
        </c:scaling>
        <c:delete val="0"/>
        <c:axPos val="l"/>
        <c:numFmt formatCode="&quot;$&quot;#,##0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18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129887</xdr:rowOff>
    </xdr:from>
    <xdr:to>
      <xdr:col>4</xdr:col>
      <xdr:colOff>434877</xdr:colOff>
      <xdr:row>16</xdr:row>
      <xdr:rowOff>59921</xdr:rowOff>
    </xdr:to>
    <xdr:graphicFrame macro="">
      <xdr:nvGraphicFramePr>
        <xdr:cNvPr id="4" name="chtIncomePct" descr="Donut chart showing percentage of income." title="Percentage of incom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 macro="">
      <xdr:nvGraphicFramePr>
        <xdr:cNvPr id="2" name="chtIncomeExpenses" descr="Column bar chart showing income and expenses." title="Income vs. Expens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onthlyIncome" displayName="MonthlyIncome" ref="B17:C21" totalsRowShown="0" dataDxfId="9" headerRowCellStyle="Heading 2">
  <autoFilter ref="B17:C21"/>
  <tableColumns count="2">
    <tableColumn id="1" name="ITEM" dataDxfId="8"/>
    <tableColumn id="2" name="AMOUNT" dataDxfId="7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="Monthly Income" altTextSummary="Enter monthly income sources and their amounts."/>
    </ext>
  </extLst>
</table>
</file>

<file path=xl/tables/table2.xml><?xml version="1.0" encoding="utf-8"?>
<table xmlns="http://schemas.openxmlformats.org/spreadsheetml/2006/main" id="2" name="MonthlyExpenses" displayName="MonthlyExpenses" ref="E17:G32" totalsRowShown="0" dataDxfId="6" headerRowCellStyle="Heading 2">
  <autoFilter ref="E17:G32"/>
  <tableColumns count="3">
    <tableColumn id="1" name="ITEM" dataDxfId="5"/>
    <tableColumn id="2" name="DUE DATE" dataDxfId="4"/>
    <tableColumn id="3" name="AMOUNT" dataDxfId="3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="Monthly Expenses" altTextSummary="Enter monthly expense items, their due date and amounts per month."/>
    </ext>
  </extLst>
</table>
</file>

<file path=xl/tables/table3.xml><?xml version="1.0" encoding="utf-8"?>
<table xmlns="http://schemas.openxmlformats.org/spreadsheetml/2006/main" id="3" name="Savings" displayName="Savings" ref="I17:J20" totalsRowShown="0" dataDxfId="2" headerRowCellStyle="Heading 2">
  <autoFilter ref="I17:J20"/>
  <tableColumns count="2">
    <tableColumn id="1" name="DATE" dataDxfId="1"/>
    <tableColumn id="2" name="AMOUNT" dataDxfId="0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="Savings" altTextSummary="Enter monthly savings and date saved."/>
    </ext>
  </extLst>
</table>
</file>

<file path=xl/theme/theme1.xml><?xml version="1.0" encoding="utf-8"?>
<a:theme xmlns:a="http://schemas.openxmlformats.org/drawingml/2006/main" name="Personal budget2">
  <a:themeElements>
    <a:clrScheme name="Personal budget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Personal budget">
      <a:majorFont>
        <a:latin typeface="Tahoma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>
    <tabColor theme="3" tint="0.249977111117893"/>
    <pageSetUpPr fitToPage="1"/>
  </sheetPr>
  <dimension ref="A1:K32"/>
  <sheetViews>
    <sheetView showGridLines="0" tabSelected="1" topLeftCell="A17" zoomScale="125" zoomScaleNormal="125" zoomScalePageLayoutView="125" workbookViewId="0">
      <selection activeCell="I30" sqref="I30"/>
    </sheetView>
  </sheetViews>
  <sheetFormatPr baseColWidth="10" defaultColWidth="9.1640625" defaultRowHeight="27.75" customHeight="1" x14ac:dyDescent="0.15"/>
  <cols>
    <col min="1" max="1" width="4.5" style="9" customWidth="1"/>
    <col min="2" max="2" width="19.6640625" style="9" customWidth="1"/>
    <col min="3" max="3" width="15.6640625" style="10" customWidth="1"/>
    <col min="4" max="4" width="6.5" style="9" customWidth="1"/>
    <col min="5" max="5" width="19.6640625" style="9" customWidth="1"/>
    <col min="6" max="6" width="15.6640625" style="11" customWidth="1"/>
    <col min="7" max="7" width="15.6640625" style="10" customWidth="1"/>
    <col min="8" max="8" width="6.5" style="9" customWidth="1"/>
    <col min="9" max="9" width="15.6640625" style="11" customWidth="1"/>
    <col min="10" max="10" width="15.6640625" style="10" customWidth="1"/>
    <col min="11" max="11" width="4.5" style="9" customWidth="1"/>
    <col min="12" max="16384" width="9.1640625" style="9"/>
  </cols>
  <sheetData>
    <row r="1" spans="1:11" s="3" customFormat="1" ht="5.25" customHeight="1" x14ac:dyDescent="0.15"/>
    <row r="2" spans="1:11" s="13" customFormat="1" ht="40.5" customHeight="1" x14ac:dyDescent="0.15">
      <c r="B2" s="13" t="s">
        <v>23</v>
      </c>
      <c r="K2" s="13" t="s">
        <v>0</v>
      </c>
    </row>
    <row r="3" spans="1:11" s="4" customFormat="1" ht="33" customHeight="1" x14ac:dyDescent="0.2">
      <c r="B3" s="12" t="s">
        <v>22</v>
      </c>
      <c r="F3" s="12" t="s">
        <v>1</v>
      </c>
    </row>
    <row r="4" spans="1:11" s="4" customFormat="1" ht="18.75" customHeight="1" x14ac:dyDescent="0.15">
      <c r="B4" s="16"/>
      <c r="E4" s="1"/>
      <c r="F4" s="17" t="s">
        <v>2</v>
      </c>
      <c r="G4" s="17"/>
    </row>
    <row r="5" spans="1:11" s="4" customFormat="1" ht="3.75" customHeight="1" x14ac:dyDescent="0.15">
      <c r="E5" s="1"/>
      <c r="F5" s="5"/>
      <c r="G5" s="5"/>
    </row>
    <row r="6" spans="1:11" s="4" customFormat="1" ht="46.5" customHeight="1" x14ac:dyDescent="0.15">
      <c r="E6" s="1"/>
      <c r="F6" s="18">
        <f>SUM(MonthlyIncome[AMOUNT])</f>
        <v>800</v>
      </c>
      <c r="G6" s="18"/>
      <c r="I6" s="1"/>
      <c r="J6" s="2"/>
    </row>
    <row r="7" spans="1:11" s="4" customFormat="1" ht="18.75" customHeight="1" x14ac:dyDescent="0.15">
      <c r="F7" s="17" t="s">
        <v>3</v>
      </c>
      <c r="G7" s="17"/>
      <c r="I7" s="1"/>
      <c r="J7" s="2"/>
    </row>
    <row r="8" spans="1:11" s="4" customFormat="1" ht="3.75" customHeight="1" x14ac:dyDescent="0.15">
      <c r="F8" s="5"/>
      <c r="G8" s="5"/>
      <c r="I8" s="1"/>
      <c r="J8" s="2"/>
    </row>
    <row r="9" spans="1:11" s="4" customFormat="1" ht="46.5" customHeight="1" x14ac:dyDescent="0.15">
      <c r="E9" s="6"/>
      <c r="F9" s="18">
        <f>SUM(MonthlyExpenses[AMOUNT])</f>
        <v>690</v>
      </c>
      <c r="G9" s="18"/>
    </row>
    <row r="10" spans="1:11" s="4" customFormat="1" ht="18.75" customHeight="1" x14ac:dyDescent="0.15">
      <c r="A10" s="6"/>
      <c r="E10" s="6"/>
      <c r="F10" s="17" t="s">
        <v>4</v>
      </c>
      <c r="G10" s="17"/>
    </row>
    <row r="11" spans="1:11" s="4" customFormat="1" ht="3.75" customHeight="1" x14ac:dyDescent="0.15">
      <c r="A11" s="6"/>
      <c r="E11" s="6"/>
      <c r="F11" s="5"/>
      <c r="G11" s="5"/>
    </row>
    <row r="12" spans="1:11" s="4" customFormat="1" ht="46.5" customHeight="1" x14ac:dyDescent="0.15">
      <c r="A12" s="6"/>
      <c r="E12" s="6"/>
      <c r="F12" s="18">
        <f>SUM(Savings[AMOUNT])</f>
        <v>80</v>
      </c>
      <c r="G12" s="18"/>
    </row>
    <row r="13" spans="1:11" s="4" customFormat="1" ht="18.75" customHeight="1" x14ac:dyDescent="0.15">
      <c r="A13" s="6"/>
      <c r="E13" s="6"/>
      <c r="F13" s="17" t="s">
        <v>5</v>
      </c>
      <c r="G13" s="17"/>
    </row>
    <row r="14" spans="1:11" s="4" customFormat="1" ht="3.75" customHeight="1" x14ac:dyDescent="0.15">
      <c r="A14" s="6"/>
      <c r="E14" s="6"/>
      <c r="F14" s="5"/>
      <c r="G14" s="5"/>
    </row>
    <row r="15" spans="1:11" s="4" customFormat="1" ht="46.5" customHeight="1" x14ac:dyDescent="0.15">
      <c r="A15" s="6"/>
      <c r="E15" s="6"/>
      <c r="F15" s="18">
        <f>TotalMonthlyIncome-TotalMonthlyExpenses-TotalMonthlySavings</f>
        <v>30</v>
      </c>
      <c r="G15" s="18"/>
    </row>
    <row r="16" spans="1:11" s="4" customFormat="1" ht="31.5" customHeight="1" x14ac:dyDescent="0.2">
      <c r="B16" s="12" t="s">
        <v>6</v>
      </c>
      <c r="C16" s="12"/>
      <c r="D16"/>
      <c r="E16" s="12" t="s">
        <v>7</v>
      </c>
      <c r="F16" s="12"/>
      <c r="G16" s="12"/>
      <c r="H16"/>
      <c r="I16" s="12" t="s">
        <v>25</v>
      </c>
      <c r="J16" s="12"/>
    </row>
    <row r="17" spans="1:11" s="4" customFormat="1" ht="18.75" customHeight="1" x14ac:dyDescent="0.15">
      <c r="B17" s="14" t="s">
        <v>8</v>
      </c>
      <c r="C17" s="14" t="s">
        <v>9</v>
      </c>
      <c r="E17" s="14" t="s">
        <v>8</v>
      </c>
      <c r="F17" s="14" t="s">
        <v>10</v>
      </c>
      <c r="G17" s="14" t="s">
        <v>9</v>
      </c>
      <c r="I17" s="14" t="s">
        <v>11</v>
      </c>
      <c r="J17" s="14" t="s">
        <v>9</v>
      </c>
    </row>
    <row r="18" spans="1:11" ht="28" customHeight="1" x14ac:dyDescent="0.15">
      <c r="A18" s="4"/>
      <c r="B18" s="4" t="s">
        <v>28</v>
      </c>
      <c r="C18" s="7">
        <v>0</v>
      </c>
      <c r="D18" s="4"/>
      <c r="E18" s="4" t="s">
        <v>12</v>
      </c>
      <c r="F18" s="8" t="s">
        <v>13</v>
      </c>
      <c r="G18" s="7" t="s">
        <v>32</v>
      </c>
      <c r="H18" s="4"/>
      <c r="I18" s="8" t="s">
        <v>13</v>
      </c>
      <c r="J18" s="7">
        <v>80</v>
      </c>
      <c r="K18" s="4"/>
    </row>
    <row r="19" spans="1:11" ht="28" customHeight="1" x14ac:dyDescent="0.15">
      <c r="A19" s="4"/>
      <c r="B19" s="4" t="s">
        <v>30</v>
      </c>
      <c r="C19" s="7">
        <v>200</v>
      </c>
      <c r="D19" s="4"/>
      <c r="E19" s="4" t="s">
        <v>14</v>
      </c>
      <c r="F19" s="8" t="s">
        <v>13</v>
      </c>
      <c r="G19" s="7">
        <v>100</v>
      </c>
      <c r="H19" s="4"/>
      <c r="I19" s="8" t="s">
        <v>13</v>
      </c>
      <c r="J19" s="7">
        <v>0</v>
      </c>
      <c r="K19" s="4"/>
    </row>
    <row r="20" spans="1:11" ht="28" customHeight="1" x14ac:dyDescent="0.15">
      <c r="A20" s="4"/>
      <c r="B20" s="4" t="s">
        <v>29</v>
      </c>
      <c r="C20" s="7">
        <v>0</v>
      </c>
      <c r="D20" s="4"/>
      <c r="E20" s="4" t="s">
        <v>36</v>
      </c>
      <c r="F20" s="8" t="s">
        <v>13</v>
      </c>
      <c r="G20" s="7">
        <v>100</v>
      </c>
      <c r="H20" s="4"/>
      <c r="I20" s="8" t="s">
        <v>13</v>
      </c>
      <c r="J20" s="7">
        <v>0</v>
      </c>
      <c r="K20" s="4"/>
    </row>
    <row r="21" spans="1:11" ht="28" customHeight="1" x14ac:dyDescent="0.15">
      <c r="A21" s="4"/>
      <c r="B21" s="4" t="s">
        <v>31</v>
      </c>
      <c r="C21" s="7">
        <v>600</v>
      </c>
      <c r="D21" s="4"/>
      <c r="E21" s="4" t="s">
        <v>15</v>
      </c>
      <c r="F21" s="8" t="s">
        <v>13</v>
      </c>
      <c r="G21" s="7" t="s">
        <v>32</v>
      </c>
      <c r="H21" s="4"/>
      <c r="K21" s="4"/>
    </row>
    <row r="22" spans="1:11" ht="28" customHeight="1" x14ac:dyDescent="0.15">
      <c r="A22" s="4"/>
      <c r="B22" s="4"/>
      <c r="C22" s="7"/>
      <c r="D22" s="4"/>
      <c r="E22" s="4" t="s">
        <v>16</v>
      </c>
      <c r="F22" s="8" t="s">
        <v>13</v>
      </c>
      <c r="G22" s="7">
        <v>80</v>
      </c>
      <c r="H22" s="4"/>
      <c r="K22" s="4"/>
    </row>
    <row r="23" spans="1:11" ht="28" customHeight="1" x14ac:dyDescent="0.15">
      <c r="A23" s="4"/>
      <c r="B23" s="4"/>
      <c r="C23" s="7"/>
      <c r="D23" s="4"/>
      <c r="E23" s="4" t="s">
        <v>21</v>
      </c>
      <c r="F23" s="8" t="s">
        <v>13</v>
      </c>
      <c r="G23" s="7" t="s">
        <v>32</v>
      </c>
      <c r="H23" s="4"/>
      <c r="K23" s="4"/>
    </row>
    <row r="24" spans="1:11" ht="28" customHeight="1" x14ac:dyDescent="0.15">
      <c r="A24" s="4"/>
      <c r="B24" s="4"/>
      <c r="C24" s="7"/>
      <c r="D24" s="4"/>
      <c r="E24" s="4" t="s">
        <v>17</v>
      </c>
      <c r="F24" s="8" t="s">
        <v>13</v>
      </c>
      <c r="G24" s="7" t="s">
        <v>33</v>
      </c>
      <c r="H24" s="4"/>
      <c r="K24" s="4"/>
    </row>
    <row r="25" spans="1:11" ht="28" customHeight="1" x14ac:dyDescent="0.15">
      <c r="A25" s="4"/>
      <c r="B25" s="4"/>
      <c r="C25" s="7"/>
      <c r="D25" s="4"/>
      <c r="E25" s="4" t="s">
        <v>18</v>
      </c>
      <c r="F25" s="8" t="s">
        <v>13</v>
      </c>
      <c r="G25" s="7">
        <v>0</v>
      </c>
      <c r="H25" s="4"/>
      <c r="K25" s="4"/>
    </row>
    <row r="26" spans="1:11" ht="28" customHeight="1" x14ac:dyDescent="0.15">
      <c r="A26" s="4"/>
      <c r="B26" s="4"/>
      <c r="C26" s="7"/>
      <c r="D26" s="4"/>
      <c r="E26" s="4" t="s">
        <v>37</v>
      </c>
      <c r="F26" s="8" t="s">
        <v>13</v>
      </c>
      <c r="G26" s="7">
        <v>150</v>
      </c>
      <c r="H26" s="4"/>
      <c r="K26" s="4"/>
    </row>
    <row r="27" spans="1:11" ht="28" customHeight="1" x14ac:dyDescent="0.15">
      <c r="A27" s="4"/>
      <c r="B27" s="4"/>
      <c r="C27" s="7"/>
      <c r="D27" s="4"/>
      <c r="E27" s="4" t="s">
        <v>19</v>
      </c>
      <c r="F27" s="8" t="s">
        <v>13</v>
      </c>
      <c r="G27" s="7" t="s">
        <v>34</v>
      </c>
      <c r="H27" s="4"/>
      <c r="K27" s="4"/>
    </row>
    <row r="28" spans="1:11" ht="28" customHeight="1" x14ac:dyDescent="0.15">
      <c r="A28" s="4"/>
      <c r="B28" s="4"/>
      <c r="C28" s="7"/>
      <c r="D28" s="4"/>
      <c r="E28" s="4" t="s">
        <v>26</v>
      </c>
      <c r="F28" s="8" t="s">
        <v>13</v>
      </c>
      <c r="G28" s="7">
        <v>50</v>
      </c>
      <c r="H28" s="4"/>
      <c r="K28" s="4"/>
    </row>
    <row r="29" spans="1:11" ht="28" customHeight="1" x14ac:dyDescent="0.15">
      <c r="A29" s="4"/>
      <c r="B29" s="4"/>
      <c r="C29" s="7"/>
      <c r="D29" s="4"/>
      <c r="E29" s="4" t="s">
        <v>20</v>
      </c>
      <c r="F29" s="8" t="s">
        <v>13</v>
      </c>
      <c r="G29" s="7">
        <v>50</v>
      </c>
      <c r="H29" s="4"/>
      <c r="K29" s="4"/>
    </row>
    <row r="30" spans="1:11" ht="28" customHeight="1" x14ac:dyDescent="0.15">
      <c r="A30" s="4"/>
      <c r="B30" s="4"/>
      <c r="C30" s="7"/>
      <c r="D30" s="4"/>
      <c r="E30" s="4" t="s">
        <v>35</v>
      </c>
      <c r="F30" s="8" t="s">
        <v>13</v>
      </c>
      <c r="G30" s="7">
        <v>80</v>
      </c>
      <c r="H30" s="4"/>
      <c r="K30" s="4"/>
    </row>
    <row r="31" spans="1:11" ht="27.75" customHeight="1" x14ac:dyDescent="0.15">
      <c r="E31" s="4" t="s">
        <v>27</v>
      </c>
      <c r="F31" s="8"/>
      <c r="G31" s="7">
        <v>80</v>
      </c>
    </row>
    <row r="32" spans="1:11" ht="27.75" customHeight="1" x14ac:dyDescent="0.15">
      <c r="E32" s="4"/>
      <c r="F32" s="8"/>
      <c r="G32" s="7"/>
    </row>
  </sheetData>
  <mergeCells count="8">
    <mergeCell ref="F13:G13"/>
    <mergeCell ref="F15:G15"/>
    <mergeCell ref="F4:G4"/>
    <mergeCell ref="F6:G6"/>
    <mergeCell ref="F7:G7"/>
    <mergeCell ref="F9:G9"/>
    <mergeCell ref="F10:G10"/>
    <mergeCell ref="F12:G12"/>
  </mergeCells>
  <printOptions horizontalCentered="1"/>
  <pageMargins left="0.4" right="0.4" top="0.4" bottom="0.4" header="0.25" footer="0.25"/>
  <pageSetup scale="71" fitToHeight="0" orientation="portrait" r:id="rId1"/>
  <headerFooter differentFirst="1">
    <oddFooter>&amp;CPage &amp;P of &amp;N</oddFooter>
  </headerFooter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9259091-5E1F-48B8-ACB1-043C76D3FB35}">
            <xm:f>'Chart Data'!$B$6</xm:f>
            <x14:dxf>
              <font>
                <color theme="7"/>
              </font>
            </x14:dxf>
          </x14:cfRule>
          <xm:sqref>F15:G15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tabColor theme="1" tint="0.249977111117893"/>
  </sheetPr>
  <dimension ref="B2:B6"/>
  <sheetViews>
    <sheetView workbookViewId="0">
      <selection activeCell="B7" sqref="B7"/>
    </sheetView>
  </sheetViews>
  <sheetFormatPr baseColWidth="10" defaultColWidth="8.83203125" defaultRowHeight="13" x14ac:dyDescent="0.15"/>
  <cols>
    <col min="1" max="1" width="1.6640625" customWidth="1"/>
  </cols>
  <sheetData>
    <row r="2" spans="2:2" x14ac:dyDescent="0.15">
      <c r="B2" t="s">
        <v>24</v>
      </c>
    </row>
    <row r="4" spans="2:2" x14ac:dyDescent="0.15">
      <c r="B4" s="15">
        <f>MIN(1,1-B5)</f>
        <v>0.13749999999999996</v>
      </c>
    </row>
    <row r="5" spans="2:2" x14ac:dyDescent="0.15">
      <c r="B5" s="15">
        <f>MIN(TotalMonthlyExpenses/TotalMonthlyIncome,1)</f>
        <v>0.86250000000000004</v>
      </c>
    </row>
    <row r="6" spans="2:2" x14ac:dyDescent="0.15">
      <c r="B6" t="b">
        <f>(TotalMonthlyExpenses/TotalMonthlyIncome)&gt;1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Month</vt:lpstr>
      <vt:lpstr>Chart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2014-09-09T12:15:28Z</dcterms:created>
  <dcterms:modified xsi:type="dcterms:W3CDTF">2018-06-19T15:03:00Z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TF10000002</vt:lpwstr>
  </property>
</Properties>
</file>